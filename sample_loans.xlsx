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lipsm/Documents/Professional/Loans/InputFiles/"/>
    </mc:Choice>
  </mc:AlternateContent>
  <xr:revisionPtr revIDLastSave="0" documentId="13_ncr:1_{9C20400C-5963-884B-A4E7-0352137DF10F}" xr6:coauthVersionLast="47" xr6:coauthVersionMax="47" xr10:uidLastSave="{00000000-0000-0000-0000-000000000000}"/>
  <bookViews>
    <workbookView xWindow="11900" yWindow="2140" windowWidth="18360" windowHeight="14620" activeTab="1" xr2:uid="{3BA095C9-BB83-1D47-9C5C-C487B327B746}"/>
  </bookViews>
  <sheets>
    <sheet name="Sheet2" sheetId="2" r:id="rId1"/>
    <sheet name="mortgage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/>
  <c r="B10" i="3"/>
  <c r="H6" i="3"/>
  <c r="I6" i="3"/>
  <c r="C6" i="3"/>
  <c r="D6" i="3"/>
  <c r="E6" i="3"/>
  <c r="F6" i="3"/>
  <c r="G6" i="3"/>
  <c r="B6" i="3"/>
</calcChain>
</file>

<file path=xl/sharedStrings.xml><?xml version="1.0" encoding="utf-8"?>
<sst xmlns="http://schemas.openxmlformats.org/spreadsheetml/2006/main" count="40" uniqueCount="16">
  <si>
    <t>LoanNumber</t>
  </si>
  <si>
    <t>Year</t>
  </si>
  <si>
    <t>OriginalBalance</t>
  </si>
  <si>
    <t>UnpaidInterest</t>
  </si>
  <si>
    <t>PrincipalBalance</t>
  </si>
  <si>
    <t>MonthlyPayment</t>
  </si>
  <si>
    <t>InterestRate</t>
  </si>
  <si>
    <t>Subsidy</t>
  </si>
  <si>
    <t>subsidized</t>
  </si>
  <si>
    <t>non-subsidized</t>
  </si>
  <si>
    <t>principal</t>
  </si>
  <si>
    <t>interest</t>
  </si>
  <si>
    <t>escrow</t>
  </si>
  <si>
    <t>buydown</t>
  </si>
  <si>
    <t xml:space="preserve">min = </t>
  </si>
  <si>
    <t xml:space="preserve">escrow + buydown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</si>
</sst>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DA1C-0C71-2649-81A8-E1D2EC3DF209}">
  <dimension ref="A1:H10"/>
  <sheetViews>
    <sheetView workbookViewId="0">
      <selection activeCell="E10" sqref="E10"/>
    </sheetView>
  </sheetViews>
  <sheetFormatPr baseColWidth="10" defaultRowHeight="16" x14ac:dyDescent="0.2"/>
  <cols>
    <col min="1" max="1" width="11.6640625" bestFit="1" customWidth="1"/>
    <col min="2" max="2" width="5.1640625" bestFit="1" customWidth="1"/>
    <col min="3" max="3" width="14.1640625" bestFit="1" customWidth="1"/>
    <col min="4" max="4" width="13.33203125" bestFit="1" customWidth="1"/>
    <col min="5" max="5" width="14.6640625" bestFit="1" customWidth="1"/>
    <col min="6" max="6" width="15" bestFit="1" customWidth="1"/>
    <col min="7" max="7" width="11.33203125" bestFit="1" customWidth="1"/>
    <col min="8" max="8" width="13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7</v>
      </c>
      <c r="B2">
        <v>2013</v>
      </c>
      <c r="C2" s="1">
        <v>2160</v>
      </c>
      <c r="D2" s="1">
        <v>0</v>
      </c>
      <c r="E2" s="1">
        <v>1779.79</v>
      </c>
      <c r="F2" s="1">
        <v>22.5</v>
      </c>
      <c r="G2" s="2">
        <v>3.8600000000000002E-2</v>
      </c>
      <c r="H2" t="s">
        <v>8</v>
      </c>
    </row>
    <row r="3" spans="1:8" x14ac:dyDescent="0.2">
      <c r="A3">
        <v>5</v>
      </c>
      <c r="B3">
        <v>2012</v>
      </c>
      <c r="C3" s="1">
        <v>4830</v>
      </c>
      <c r="D3" s="1">
        <v>0</v>
      </c>
      <c r="E3" s="1">
        <v>3972.18</v>
      </c>
      <c r="F3" s="1">
        <v>49.03</v>
      </c>
      <c r="G3" s="2">
        <v>3.4000000000000002E-2</v>
      </c>
      <c r="H3" t="s">
        <v>8</v>
      </c>
    </row>
    <row r="4" spans="1:8" x14ac:dyDescent="0.2">
      <c r="A4">
        <v>6</v>
      </c>
      <c r="B4">
        <v>2012</v>
      </c>
      <c r="C4" s="1">
        <v>2670</v>
      </c>
      <c r="D4" s="1">
        <v>0</v>
      </c>
      <c r="E4" s="1">
        <v>1500.07</v>
      </c>
      <c r="F4" s="1">
        <v>34.549999999999997</v>
      </c>
      <c r="G4" s="2">
        <v>6.8000000000000005E-2</v>
      </c>
      <c r="H4" t="s">
        <v>9</v>
      </c>
    </row>
    <row r="5" spans="1:8" x14ac:dyDescent="0.2">
      <c r="A5">
        <v>3</v>
      </c>
      <c r="B5">
        <v>2011</v>
      </c>
      <c r="C5" s="1">
        <v>4500</v>
      </c>
      <c r="D5" s="1">
        <v>0</v>
      </c>
      <c r="E5" s="1">
        <v>3602</v>
      </c>
      <c r="F5" s="1">
        <v>44.16</v>
      </c>
      <c r="G5" s="2">
        <v>3.4000000000000002E-2</v>
      </c>
      <c r="H5" t="s">
        <v>8</v>
      </c>
    </row>
    <row r="6" spans="1:8" x14ac:dyDescent="0.2">
      <c r="A6">
        <v>4</v>
      </c>
      <c r="B6">
        <v>2011</v>
      </c>
      <c r="C6" s="1">
        <v>2000</v>
      </c>
      <c r="D6" s="1">
        <v>0</v>
      </c>
      <c r="E6" s="1">
        <v>1434.57</v>
      </c>
      <c r="F6" s="1">
        <v>27.43</v>
      </c>
      <c r="G6" s="2">
        <v>6.8000000000000005E-2</v>
      </c>
      <c r="H6" t="s">
        <v>9</v>
      </c>
    </row>
    <row r="7" spans="1:8" x14ac:dyDescent="0.2">
      <c r="A7">
        <v>1</v>
      </c>
      <c r="B7">
        <v>2010</v>
      </c>
      <c r="C7" s="1">
        <v>1662</v>
      </c>
      <c r="D7" s="1">
        <v>0</v>
      </c>
      <c r="E7" s="1">
        <v>1331.61</v>
      </c>
      <c r="F7" s="1">
        <v>17.16</v>
      </c>
      <c r="G7" s="2">
        <v>4.4999999999999998E-2</v>
      </c>
      <c r="H7" t="s">
        <v>8</v>
      </c>
    </row>
    <row r="8" spans="1:8" x14ac:dyDescent="0.2">
      <c r="A8">
        <v>2</v>
      </c>
      <c r="B8">
        <v>2010</v>
      </c>
      <c r="C8" s="1">
        <v>1674</v>
      </c>
      <c r="D8" s="1">
        <v>0</v>
      </c>
      <c r="E8" s="1">
        <v>994.9</v>
      </c>
      <c r="F8" s="1">
        <v>24.14</v>
      </c>
      <c r="G8" s="2">
        <v>6.8000000000000005E-2</v>
      </c>
      <c r="H8" t="s">
        <v>9</v>
      </c>
    </row>
    <row r="9" spans="1:8" x14ac:dyDescent="0.2">
      <c r="A9" s="3">
        <v>8</v>
      </c>
      <c r="B9" s="3">
        <v>2022</v>
      </c>
      <c r="C9" s="4">
        <v>20769.79</v>
      </c>
      <c r="D9" s="4">
        <v>0</v>
      </c>
      <c r="E9" s="4">
        <v>12626.77</v>
      </c>
      <c r="F9" s="4">
        <v>340.19</v>
      </c>
      <c r="G9" s="5">
        <v>3.2899999999999999E-2</v>
      </c>
      <c r="H9" t="s">
        <v>9</v>
      </c>
    </row>
    <row r="10" spans="1:8" x14ac:dyDescent="0.2">
      <c r="A10" s="3">
        <v>9</v>
      </c>
      <c r="B10" s="3">
        <v>2023</v>
      </c>
      <c r="C10" s="4">
        <v>372000</v>
      </c>
      <c r="D10" s="4">
        <v>0</v>
      </c>
      <c r="E10" s="4">
        <v>369005.26</v>
      </c>
      <c r="F10" s="4">
        <v>310</v>
      </c>
      <c r="G10" s="5">
        <v>6.9900000000000004E-2</v>
      </c>
      <c r="H10" t="s">
        <v>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DE69-EE60-1F47-B816-91DC06C0A1F6}">
  <dimension ref="A1:I11"/>
  <sheetViews>
    <sheetView tabSelected="1" workbookViewId="0">
      <selection activeCell="B8" sqref="B8"/>
    </sheetView>
  </sheetViews>
  <sheetFormatPr baseColWidth="10" defaultRowHeight="16" x14ac:dyDescent="0.2"/>
  <cols>
    <col min="1" max="1" width="18.5" bestFit="1" customWidth="1"/>
  </cols>
  <sheetData>
    <row r="1" spans="1:9" x14ac:dyDescent="0.2">
      <c r="B1" s="6">
        <v>45474</v>
      </c>
      <c r="C1" s="6">
        <v>45505</v>
      </c>
      <c r="D1" s="6">
        <v>45536</v>
      </c>
      <c r="E1" s="6">
        <v>45566</v>
      </c>
      <c r="F1" s="6">
        <v>45597</v>
      </c>
      <c r="G1" s="6">
        <v>45627</v>
      </c>
      <c r="H1" s="6">
        <v>45658</v>
      </c>
      <c r="I1" s="6">
        <v>45689</v>
      </c>
    </row>
    <row r="2" spans="1:9" x14ac:dyDescent="0.2">
      <c r="A2" t="s">
        <v>10</v>
      </c>
      <c r="B2">
        <v>306.24</v>
      </c>
      <c r="C2">
        <v>308.02999999999997</v>
      </c>
      <c r="D2">
        <v>309.82</v>
      </c>
      <c r="E2">
        <v>530.91</v>
      </c>
      <c r="F2">
        <v>534</v>
      </c>
      <c r="G2">
        <v>537.11</v>
      </c>
      <c r="H2">
        <v>540.24</v>
      </c>
      <c r="I2">
        <v>543.38</v>
      </c>
    </row>
    <row r="3" spans="1:9" x14ac:dyDescent="0.2">
      <c r="A3" t="s">
        <v>11</v>
      </c>
      <c r="B3">
        <v>2172</v>
      </c>
      <c r="C3">
        <v>2170.21</v>
      </c>
      <c r="D3">
        <v>2168.42</v>
      </c>
      <c r="E3">
        <v>2166.61</v>
      </c>
      <c r="F3">
        <v>2163.52</v>
      </c>
      <c r="G3">
        <v>2160.41</v>
      </c>
      <c r="H3">
        <v>2157.2800000000002</v>
      </c>
      <c r="I3">
        <v>2154.14</v>
      </c>
    </row>
    <row r="4" spans="1:9" x14ac:dyDescent="0.2">
      <c r="A4" t="s">
        <v>12</v>
      </c>
      <c r="B4">
        <v>398.12</v>
      </c>
      <c r="C4">
        <v>398.12</v>
      </c>
      <c r="D4">
        <v>398.12</v>
      </c>
      <c r="E4">
        <v>398.12</v>
      </c>
      <c r="F4">
        <v>398.12</v>
      </c>
      <c r="G4">
        <v>398.12</v>
      </c>
      <c r="H4">
        <v>398.12</v>
      </c>
      <c r="I4">
        <v>398.12</v>
      </c>
    </row>
    <row r="5" spans="1:9" x14ac:dyDescent="0.2">
      <c r="A5" t="s">
        <v>13</v>
      </c>
      <c r="B5">
        <v>245.06</v>
      </c>
      <c r="C5">
        <v>245.06</v>
      </c>
      <c r="D5">
        <v>245.06</v>
      </c>
      <c r="E5">
        <v>245.06</v>
      </c>
      <c r="F5">
        <v>245.06</v>
      </c>
      <c r="G5">
        <v>245.06</v>
      </c>
      <c r="H5">
        <v>245.06</v>
      </c>
      <c r="I5">
        <v>245.06</v>
      </c>
    </row>
    <row r="6" spans="1:9" x14ac:dyDescent="0.2">
      <c r="B6">
        <f>SUM(B2:B5)</f>
        <v>3121.4199999999996</v>
      </c>
      <c r="C6">
        <f t="shared" ref="C6:G6" si="0">SUM(C2:C5)</f>
        <v>3121.4199999999996</v>
      </c>
      <c r="D6">
        <f t="shared" si="0"/>
        <v>3121.42</v>
      </c>
      <c r="E6">
        <f t="shared" si="0"/>
        <v>3340.7</v>
      </c>
      <c r="F6">
        <f t="shared" si="0"/>
        <v>3340.7</v>
      </c>
      <c r="G6">
        <f t="shared" si="0"/>
        <v>3340.7</v>
      </c>
      <c r="H6">
        <f t="shared" ref="H6" si="1">SUM(H2:H5)</f>
        <v>3340.7000000000003</v>
      </c>
      <c r="I6">
        <f t="shared" ref="I6" si="2">SUM(I2:I5)</f>
        <v>3340.7</v>
      </c>
    </row>
    <row r="8" spans="1:9" x14ac:dyDescent="0.2">
      <c r="A8" t="s">
        <v>14</v>
      </c>
      <c r="B8">
        <v>2631.3</v>
      </c>
    </row>
    <row r="10" spans="1:9" x14ac:dyDescent="0.2">
      <c r="A10" t="s">
        <v>15</v>
      </c>
      <c r="B10">
        <f>SUM(B4:B5)</f>
        <v>643.18000000000006</v>
      </c>
    </row>
    <row r="11" spans="1:9" x14ac:dyDescent="0.2">
      <c r="A11">
        <f>4200-B10</f>
        <v>3556.8199999999997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8E6E-1454-6F40-9267-88E887116105}">
  <dimension ref="A1:H10"/>
  <sheetViews>
    <sheetView workbookViewId="0">
      <selection sqref="A1:H10"/>
    </sheetView>
  </sheetViews>
  <sheetFormatPr baseColWidth="10" defaultRowHeight="16" x14ac:dyDescent="0.2"/>
  <cols>
    <col min="1" max="1" width="11.6640625" bestFit="1" customWidth="1"/>
    <col min="2" max="2" width="5.1640625" bestFit="1" customWidth="1"/>
    <col min="3" max="3" width="14.1640625" bestFit="1" customWidth="1"/>
    <col min="4" max="4" width="13.33203125" bestFit="1" customWidth="1"/>
    <col min="5" max="5" width="14.6640625" bestFit="1" customWidth="1"/>
    <col min="6" max="6" width="15" bestFit="1" customWidth="1"/>
    <col min="7" max="7" width="11.33203125" bestFit="1" customWidth="1"/>
    <col min="8" max="8" width="13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7</v>
      </c>
      <c r="B2">
        <v>2013</v>
      </c>
      <c r="C2" s="1">
        <v>2160</v>
      </c>
      <c r="D2" s="1">
        <v>0</v>
      </c>
      <c r="E2" s="1">
        <v>2149.77</v>
      </c>
      <c r="F2" s="1">
        <v>22.5</v>
      </c>
      <c r="G2" s="2">
        <v>3.4000000000000002E-2</v>
      </c>
      <c r="H2" t="s">
        <v>8</v>
      </c>
    </row>
    <row r="3" spans="1:8" x14ac:dyDescent="0.2">
      <c r="A3">
        <v>5</v>
      </c>
      <c r="B3">
        <v>2012</v>
      </c>
      <c r="C3" s="1">
        <v>4830</v>
      </c>
      <c r="D3" s="1">
        <v>0</v>
      </c>
      <c r="E3" s="1">
        <v>4794.45</v>
      </c>
      <c r="F3" s="1">
        <v>49.03</v>
      </c>
      <c r="G3" s="2">
        <v>3.4000000000000002E-2</v>
      </c>
      <c r="H3" t="s">
        <v>8</v>
      </c>
    </row>
    <row r="4" spans="1:8" x14ac:dyDescent="0.2">
      <c r="A4">
        <v>6</v>
      </c>
      <c r="B4">
        <v>2012</v>
      </c>
      <c r="C4" s="1">
        <v>2670</v>
      </c>
      <c r="D4" s="1">
        <v>680.53</v>
      </c>
      <c r="E4" s="1">
        <v>1982.28</v>
      </c>
      <c r="F4" s="1">
        <v>34.549999999999997</v>
      </c>
      <c r="G4" s="2">
        <v>6.8000000000000005E-2</v>
      </c>
      <c r="H4" t="s">
        <v>9</v>
      </c>
    </row>
    <row r="5" spans="1:8" x14ac:dyDescent="0.2">
      <c r="A5">
        <v>3</v>
      </c>
      <c r="B5">
        <v>2011</v>
      </c>
      <c r="C5" s="1">
        <v>4500</v>
      </c>
      <c r="D5" s="1">
        <v>0</v>
      </c>
      <c r="E5" s="1">
        <v>4391.6499999999996</v>
      </c>
      <c r="F5" s="1">
        <v>44.16</v>
      </c>
      <c r="G5" s="2">
        <v>3.4000000000000002E-2</v>
      </c>
      <c r="H5" t="s">
        <v>8</v>
      </c>
    </row>
    <row r="6" spans="1:8" x14ac:dyDescent="0.2">
      <c r="A6">
        <v>4</v>
      </c>
      <c r="B6">
        <v>2011</v>
      </c>
      <c r="C6" s="1">
        <v>2000</v>
      </c>
      <c r="D6" s="1">
        <v>604.5</v>
      </c>
      <c r="E6" s="1">
        <v>1774.9</v>
      </c>
      <c r="F6" s="1">
        <v>27.43</v>
      </c>
      <c r="G6" s="2">
        <v>6.8000000000000005E-2</v>
      </c>
      <c r="H6" t="s">
        <v>9</v>
      </c>
    </row>
    <row r="7" spans="1:8" x14ac:dyDescent="0.2">
      <c r="A7">
        <v>1</v>
      </c>
      <c r="B7">
        <v>2010</v>
      </c>
      <c r="C7" s="1">
        <v>1662</v>
      </c>
      <c r="D7" s="1">
        <v>0</v>
      </c>
      <c r="E7" s="1">
        <v>1623.38</v>
      </c>
      <c r="F7" s="1">
        <v>17.16</v>
      </c>
      <c r="G7" s="2">
        <v>4.4999999999999998E-2</v>
      </c>
      <c r="H7" t="s">
        <v>8</v>
      </c>
    </row>
    <row r="8" spans="1:8" x14ac:dyDescent="0.2">
      <c r="A8">
        <v>2</v>
      </c>
      <c r="B8">
        <v>2010</v>
      </c>
      <c r="C8" s="1">
        <v>1674</v>
      </c>
      <c r="D8" s="1">
        <v>735.6</v>
      </c>
      <c r="E8" s="1">
        <v>2053.52</v>
      </c>
      <c r="F8" s="1">
        <v>24.14</v>
      </c>
      <c r="G8" s="2">
        <v>6.8000000000000005E-2</v>
      </c>
      <c r="H8" t="s">
        <v>9</v>
      </c>
    </row>
    <row r="9" spans="1:8" x14ac:dyDescent="0.2">
      <c r="A9" s="3">
        <v>8</v>
      </c>
      <c r="B9" s="3">
        <v>2022</v>
      </c>
      <c r="C9" s="4">
        <v>20769.79</v>
      </c>
      <c r="D9" s="4">
        <v>0</v>
      </c>
      <c r="E9" s="4">
        <v>17377.169999999998</v>
      </c>
      <c r="F9" s="4">
        <v>340.19</v>
      </c>
      <c r="G9" s="5">
        <v>3.2899999999999999E-2</v>
      </c>
      <c r="H9" t="s">
        <v>9</v>
      </c>
    </row>
    <row r="10" spans="1:8" x14ac:dyDescent="0.2">
      <c r="A10" s="3">
        <v>9</v>
      </c>
      <c r="B10" s="3">
        <v>2021</v>
      </c>
      <c r="C10" s="4">
        <v>7437.02</v>
      </c>
      <c r="D10" s="4">
        <v>0</v>
      </c>
      <c r="E10" s="4">
        <v>5015.9399999999996</v>
      </c>
      <c r="F10" s="4">
        <v>205.49</v>
      </c>
      <c r="G10" s="5">
        <v>5.2999999999999999E-2</v>
      </c>
      <c r="H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mortgage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Phillips</dc:creator>
  <cp:lastModifiedBy>Phillips, Michael Steven - (phillipsm)</cp:lastModifiedBy>
  <dcterms:created xsi:type="dcterms:W3CDTF">2023-08-12T15:48:33Z</dcterms:created>
  <dcterms:modified xsi:type="dcterms:W3CDTF">2025-02-07T00:06:11Z</dcterms:modified>
</cp:coreProperties>
</file>